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okup Lists" sheetId="2" state="visible" r:id="rId4"/>
    <sheet name="SLA Matrix" sheetId="3" state="visible" r:id="rId5"/>
    <sheet name="Ticket Register" sheetId="4" state="visible" r:id="rId6"/>
    <sheet name="Dashboard" sheetId="5" state="visible" r:id="rId7"/>
  </sheets>
  <definedNames>
    <definedName function="false" hidden="true" localSheetId="3" name="_xlnm._FilterDatabase" vbProcedure="false">'Ticket Register'!$A$1:$AB$16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<sst xmlns="http://schemas.openxmlformats.org/spreadsheetml/2006/main" count="386" uniqueCount="243">
  <si>
    <t xml:space="preserve">GRC Exception &amp; Risk-Remediation Ticket Tracker</t>
  </si>
  <si>
    <t xml:space="preserve">Fictional organization: Meridian Trust Financial (Canadian fintech) — for portfolio demonstration only</t>
  </si>
  <si>
    <t xml:space="preserve">Purpose</t>
  </si>
  <si>
    <t xml:space="preserve">This workbook tracks the full lifecycle of GRC exception tickets, policy deviations, and risk-acceptance</t>
  </si>
  <si>
    <t xml:space="preserve">requests from intake through closure. It supports ISO/IEC 27001:2022 (Clause 6.1.3, Annex A.5.36,</t>
  </si>
  <si>
    <t xml:space="preserve">A.8.9), NIST SP 800-53 Rev. 5 (CA-5 Plan of Action and Milestones, PM-4 Plan of Action Management),</t>
  </si>
  <si>
    <t xml:space="preserve">and NIST SP 800-161 (supply chain risk exceptions).</t>
  </si>
  <si>
    <t xml:space="preserve">How to use this workbook</t>
  </si>
  <si>
    <t xml:space="preserve">1. Ticket Register — the master log. One row per ticket. Use the dropdown lists for standardized fields.</t>
  </si>
  <si>
    <t xml:space="preserve">2. Dashboard — auto-calculated summary of open/overdue tickets, aging, and risk distribution.</t>
  </si>
  <si>
    <t xml:space="preserve">3. Lookup Lists — controls the dropdown values used across the register (edit here to adjust options).</t>
  </si>
  <si>
    <t xml:space="preserve">4. SLA Matrix — defines target turnaround time by residual risk rating; feeds the SLA Due Date formula.</t>
  </si>
  <si>
    <t xml:space="preserve">Column logic (Ticket Register)</t>
  </si>
  <si>
    <t xml:space="preserve">SLA Target Days is pulled automatically via VLOOKUP against the SLA Matrix, based on Residual Risk Rating.</t>
  </si>
  <si>
    <t xml:space="preserve">SLA Due Date = Approval Date + SLA Target Days.</t>
  </si>
  <si>
    <t xml:space="preserve">Days Open = Actual Closure Date minus Date Raised if closed, otherwise TODAY() minus Date Raised.</t>
  </si>
  <si>
    <t xml:space="preserve">SLA Status flags Overdue, Due Soon (&lt;=5 days), On Track, or Closed automatically.</t>
  </si>
  <si>
    <t xml:space="preserve">Companion materials</t>
  </si>
  <si>
    <t xml:space="preserve">A matching Word report, 'GRC Exception &amp; Risk-Remediation Ticket Lifecycle Management Framework',</t>
  </si>
  <si>
    <t xml:space="preserve">documents the 7-stage lifecycle, RACI, SLA model, KPIs, and control mapping in narrative form.</t>
  </si>
  <si>
    <t xml:space="preserve">Exception Type</t>
  </si>
  <si>
    <t xml:space="preserve">Inherent/Residual Risk Rating</t>
  </si>
  <si>
    <t xml:space="preserve">Approval Status</t>
  </si>
  <si>
    <t xml:space="preserve">Ticket Status</t>
  </si>
  <si>
    <t xml:space="preserve">Control Domain (ISO 27001:2022 Annex A / NIST 800-53 Family)</t>
  </si>
  <si>
    <t xml:space="preserve">SLA Status (calculated, reference only)</t>
  </si>
  <si>
    <t xml:space="preserve">Policy Exception</t>
  </si>
  <si>
    <t xml:space="preserve">Critical</t>
  </si>
  <si>
    <t xml:space="preserve">Pending Approval</t>
  </si>
  <si>
    <t xml:space="preserve">Open</t>
  </si>
  <si>
    <t xml:space="preserve">A.5 Access Control / AC</t>
  </si>
  <si>
    <t xml:space="preserve">On Track</t>
  </si>
  <si>
    <t xml:space="preserve">Risk Acceptance</t>
  </si>
  <si>
    <t xml:space="preserve">High</t>
  </si>
  <si>
    <t xml:space="preserve">Approved</t>
  </si>
  <si>
    <t xml:space="preserve">A.8.9 Configuration Management / CM</t>
  </si>
  <si>
    <t xml:space="preserve">Due Soon</t>
  </si>
  <si>
    <t xml:space="preserve">Standard Deviation</t>
  </si>
  <si>
    <t xml:space="preserve">Medium</t>
  </si>
  <si>
    <t xml:space="preserve">Approved with Conditions</t>
  </si>
  <si>
    <t xml:space="preserve">In Remediation</t>
  </si>
  <si>
    <t xml:space="preserve">A.8.16 Monitoring / AU</t>
  </si>
  <si>
    <t xml:space="preserve">Overdue</t>
  </si>
  <si>
    <t xml:space="preserve">Compensating Control</t>
  </si>
  <si>
    <t xml:space="preserve">Low</t>
  </si>
  <si>
    <t xml:space="preserve">Rejected</t>
  </si>
  <si>
    <t xml:space="preserve">Pending Verification</t>
  </si>
  <si>
    <t xml:space="preserve">A.5.19 Supplier Relationships / SA &amp; SR (800-161)</t>
  </si>
  <si>
    <t xml:space="preserve">Closed</t>
  </si>
  <si>
    <t xml:space="preserve">Temporary Waiver</t>
  </si>
  <si>
    <t xml:space="preserve">Escalated to Risk Committee</t>
  </si>
  <si>
    <t xml:space="preserve">Reopened</t>
  </si>
  <si>
    <t xml:space="preserve">A.8.24 Cryptography / SC</t>
  </si>
  <si>
    <t xml:space="preserve">A.8.8 Vulnerability Management / RA</t>
  </si>
  <si>
    <t xml:space="preserve">A.5.29 ICT Continuity / CP</t>
  </si>
  <si>
    <t xml:space="preserve">A.5.36 Compliance Review / CA</t>
  </si>
  <si>
    <t xml:space="preserve">Residual Risk Rating</t>
  </si>
  <si>
    <t xml:space="preserve">SLA Target (Days to Closure)</t>
  </si>
  <si>
    <t xml:space="preserve">Review/Re-certification Frequency</t>
  </si>
  <si>
    <t xml:space="preserve">Escalation Trigger</t>
  </si>
  <si>
    <t xml:space="preserve">Every 90 days</t>
  </si>
  <si>
    <t xml:space="preserve">No remediation owner assigned within 2 business days</t>
  </si>
  <si>
    <t xml:space="preserve">Every 180 days</t>
  </si>
  <si>
    <t xml:space="preserve">50% of SLA elapsed with no remediation plan on file</t>
  </si>
  <si>
    <t xml:space="preserve">Annually</t>
  </si>
  <si>
    <t xml:space="preserve">SLA breached by more than 10 days</t>
  </si>
  <si>
    <t xml:space="preserve">SLA breached by more than 20 days</t>
  </si>
  <si>
    <t xml:space="preserve">Ticket ID</t>
  </si>
  <si>
    <t xml:space="preserve">Date Raised</t>
  </si>
  <si>
    <t xml:space="preserve">Requestor</t>
  </si>
  <si>
    <t xml:space="preserve">Business Unit</t>
  </si>
  <si>
    <t xml:space="preserve">System / Asset</t>
  </si>
  <si>
    <t xml:space="preserve">Control Domain</t>
  </si>
  <si>
    <t xml:space="preserve">Control Reference</t>
  </si>
  <si>
    <t xml:space="preserve">Description</t>
  </si>
  <si>
    <t xml:space="preserve">Inherent Risk Rating</t>
  </si>
  <si>
    <t xml:space="preserve">Compensating Controls</t>
  </si>
  <si>
    <t xml:space="preserve">Risk Owner</t>
  </si>
  <si>
    <t xml:space="preserve">Approver</t>
  </si>
  <si>
    <t xml:space="preserve">Approval Date</t>
  </si>
  <si>
    <t xml:space="preserve">SLA Target (Days)</t>
  </si>
  <si>
    <t xml:space="preserve">SLA Due Date</t>
  </si>
  <si>
    <t xml:space="preserve">Remediation Owner</t>
  </si>
  <si>
    <t xml:space="preserve">Remediation Plan Summary</t>
  </si>
  <si>
    <t xml:space="preserve">Target Closure Date</t>
  </si>
  <si>
    <t xml:space="preserve">Actual Closure Date</t>
  </si>
  <si>
    <t xml:space="preserve">Days Open</t>
  </si>
  <si>
    <t xml:space="preserve">SLA Status</t>
  </si>
  <si>
    <t xml:space="preserve">Next Review Date</t>
  </si>
  <si>
    <t xml:space="preserve">Reopened Count</t>
  </si>
  <si>
    <t xml:space="preserve">Closure Evidence Ref.</t>
  </si>
  <si>
    <t xml:space="preserve">RXT-2026-001</t>
  </si>
  <si>
    <t xml:space="preserve">D. Alaba (IT Ops)</t>
  </si>
  <si>
    <t xml:space="preserve">Retail Banking Tech</t>
  </si>
  <si>
    <t xml:space="preserve">Core Banking Gateway API</t>
  </si>
  <si>
    <t xml:space="preserve">SR-3, ISO A.5.19-A.5.22</t>
  </si>
  <si>
    <t xml:space="preserve">Third-party payment processor delayed SOC 2 Type II report beyond contractual deadline.</t>
  </si>
  <si>
    <t xml:space="preserve">Monthly vendor call, interim attestation letter, enhanced transaction monitoring</t>
  </si>
  <si>
    <t xml:space="preserve">M. Okonkwo (TPRM Lead)</t>
  </si>
  <si>
    <t xml:space="preserve">Chief Risk Officer</t>
  </si>
  <si>
    <t xml:space="preserve">M. Okonkwo</t>
  </si>
  <si>
    <t xml:space="preserve">Obtain SOC 2 Type II report; re-assess residual rating on receipt.</t>
  </si>
  <si>
    <t xml:space="preserve">EVID-2026-001-SOC2.pdf</t>
  </si>
  <si>
    <t xml:space="preserve">RXT-2026-002</t>
  </si>
  <si>
    <t xml:space="preserve">S. Choudhury (Infra)</t>
  </si>
  <si>
    <t xml:space="preserve">Enterprise IT</t>
  </si>
  <si>
    <t xml:space="preserve">Legacy File Server (WIN-FS02)</t>
  </si>
  <si>
    <t xml:space="preserve">SC-13, ISO A.8.24</t>
  </si>
  <si>
    <t xml:space="preserve">Server cannot support TLS 1.2 due to end-of-life OS; scheduled for decommission.</t>
  </si>
  <si>
    <t xml:space="preserve">Network segmentation, restricted ACLs, decommission project underway</t>
  </si>
  <si>
    <t xml:space="preserve">S. Choudhury</t>
  </si>
  <si>
    <t xml:space="preserve">CISO</t>
  </si>
  <si>
    <t xml:space="preserve">Migrate file shares to hardened NAS; decommission WIN-FS02.</t>
  </si>
  <si>
    <t xml:space="preserve">RXT-2026-003</t>
  </si>
  <si>
    <t xml:space="preserve">A. Nwosu (App Dev)</t>
  </si>
  <si>
    <t xml:space="preserve">Digital Banking</t>
  </si>
  <si>
    <t xml:space="preserve">Mobile Banking App v4.2</t>
  </si>
  <si>
    <t xml:space="preserve">RA-5, ISO A.8.8</t>
  </si>
  <si>
    <t xml:space="preserve">Medium-severity dependency vulnerability (outdated logging library) cannot be patched before next release window.</t>
  </si>
  <si>
    <t xml:space="preserve">WAF rule added, dependency isolated from user input path</t>
  </si>
  <si>
    <t xml:space="preserve">A. Nwosu</t>
  </si>
  <si>
    <t xml:space="preserve">App Security Lead</t>
  </si>
  <si>
    <t xml:space="preserve">Upgrade library in Q3 release cycle; retest.</t>
  </si>
  <si>
    <t xml:space="preserve">EVID-2026-003-scan.pdf</t>
  </si>
  <si>
    <t xml:space="preserve">RXT-2026-004</t>
  </si>
  <si>
    <t xml:space="preserve">P. Osei (Access Mgmt)</t>
  </si>
  <si>
    <t xml:space="preserve">Human Resources</t>
  </si>
  <si>
    <t xml:space="preserve">HR Information System (Workday)</t>
  </si>
  <si>
    <t xml:space="preserve">AC-6, ISO A.5.15-A.5.18</t>
  </si>
  <si>
    <t xml:space="preserve">Contractor requires temporary elevated access beyond standard least-privilege baseline for payroll migration.</t>
  </si>
  <si>
    <t xml:space="preserve">Time-boxed access (30 days), session logging enabled, manager sign-off</t>
  </si>
  <si>
    <t xml:space="preserve">P. Osei</t>
  </si>
  <si>
    <t xml:space="preserve">HR Director</t>
  </si>
  <si>
    <t xml:space="preserve">Revoke elevated access automatically at expiry; confirm via access review.</t>
  </si>
  <si>
    <t xml:space="preserve">EVID-2026-004-access.pdf</t>
  </si>
  <si>
    <t xml:space="preserve">RXT-2026-005</t>
  </si>
  <si>
    <t xml:space="preserve">T. Fagbenle (SOC)</t>
  </si>
  <si>
    <t xml:space="preserve">Security Operations</t>
  </si>
  <si>
    <t xml:space="preserve">SIEM Log Retention Policy</t>
  </si>
  <si>
    <t xml:space="preserve">AU-11, ISO A.8.16</t>
  </si>
  <si>
    <t xml:space="preserve">Cloud log retention configured for 180 days instead of policy-mandated 365 days due to storage cost cap.</t>
  </si>
  <si>
    <t xml:space="preserve">Cold storage archive of logs beyond 180 days at reduced query capability</t>
  </si>
  <si>
    <t xml:space="preserve">T. Fagbenle</t>
  </si>
  <si>
    <t xml:space="preserve">Present storage cost-benefit options to Risk Committee for final retention decision.</t>
  </si>
  <si>
    <t xml:space="preserve">RXT-2026-006</t>
  </si>
  <si>
    <t xml:space="preserve">R. Adebayo (Vendor Mgmt)</t>
  </si>
  <si>
    <t xml:space="preserve">Procurement</t>
  </si>
  <si>
    <t xml:space="preserve">Cloud Backup Provider (NorthVault)</t>
  </si>
  <si>
    <t xml:space="preserve">SR-6, ISO A.5.20</t>
  </si>
  <si>
    <t xml:space="preserve">Vendor data processing agreement lacks explicit sub-processor notification clause required by internal standard.</t>
  </si>
  <si>
    <t xml:space="preserve">Quarterly sub-processor list requested manually pending contract renewal</t>
  </si>
  <si>
    <t xml:space="preserve">R. Adebayo</t>
  </si>
  <si>
    <t xml:space="preserve">Renegotiate DPA clause at next contract renewal (Q4 2026).</t>
  </si>
  <si>
    <t xml:space="preserve">RXT-2026-007</t>
  </si>
  <si>
    <t xml:space="preserve">C. Mensah (BCP)</t>
  </si>
  <si>
    <t xml:space="preserve">Business Continuity</t>
  </si>
  <si>
    <t xml:space="preserve">Disaster Recovery Site (Ottawa DC)</t>
  </si>
  <si>
    <t xml:space="preserve">CP-7, ISO A.5.29-A.5.30</t>
  </si>
  <si>
    <t xml:space="preserve">Annual DR failover test postponed due to data centre maintenance window conflict.</t>
  </si>
  <si>
    <t xml:space="preserve">Tabletop exercise conducted in lieu; full failover rescheduled</t>
  </si>
  <si>
    <t xml:space="preserve">C. Mensah</t>
  </si>
  <si>
    <t xml:space="preserve">COO</t>
  </si>
  <si>
    <t xml:space="preserve">Execute full failover test within 60 days of original schedule.</t>
  </si>
  <si>
    <t xml:space="preserve">RXT-2026-008</t>
  </si>
  <si>
    <t xml:space="preserve">K. Boateng (App Dev)</t>
  </si>
  <si>
    <t xml:space="preserve">Customer Portal Authentication</t>
  </si>
  <si>
    <t xml:space="preserve">AC-7, IA-5, ISO A.8.5</t>
  </si>
  <si>
    <t xml:space="preserve">MFA enrolment grace period extended for customers migrating from legacy authentication method.</t>
  </si>
  <si>
    <t xml:space="preserve">Risk-based step-up authentication, fraud monitoring alerts enabled</t>
  </si>
  <si>
    <t xml:space="preserve">K. Boateng</t>
  </si>
  <si>
    <t xml:space="preserve">Complete MFA migration campaign; disable legacy path.</t>
  </si>
  <si>
    <t xml:space="preserve">RXT-2026-009</t>
  </si>
  <si>
    <t xml:space="preserve">N. Eze (IT Ops)</t>
  </si>
  <si>
    <t xml:space="preserve">Patch Management Baseline</t>
  </si>
  <si>
    <t xml:space="preserve">SI-2, ISO A.8.8</t>
  </si>
  <si>
    <t xml:space="preserve">Critical OS patch deployment delayed on 12 servers pending change freeze during quarter-end processing.</t>
  </si>
  <si>
    <t xml:space="preserve">Additional network monitoring and IDS tuning on affected hosts</t>
  </si>
  <si>
    <t xml:space="preserve">N. Eze</t>
  </si>
  <si>
    <t xml:space="preserve">Deploy patches immediately after change freeze lifts.</t>
  </si>
  <si>
    <t xml:space="preserve">RXT-2026-010</t>
  </si>
  <si>
    <t xml:space="preserve">F. Ibrahim (Data Governance)</t>
  </si>
  <si>
    <t xml:space="preserve">Data &amp; Analytics</t>
  </si>
  <si>
    <t xml:space="preserve">Customer Data Warehouse</t>
  </si>
  <si>
    <t xml:space="preserve">CM-3, ISO A.8.9</t>
  </si>
  <si>
    <t xml:space="preserve">Emergency schema change deployed outside standard change-approval window to fix production reporting outage.</t>
  </si>
  <si>
    <t xml:space="preserve">Post-implementation review scheduled; rollback plan documented</t>
  </si>
  <si>
    <t xml:space="preserve">F. Ibrahim</t>
  </si>
  <si>
    <t xml:space="preserve">Change Advisory Board Chair</t>
  </si>
  <si>
    <t xml:space="preserve">Complete retrospective change review and update CAB record.</t>
  </si>
  <si>
    <t xml:space="preserve">EVID-2026-010-CAB.pdf</t>
  </si>
  <si>
    <t xml:space="preserve">RXT-2026-011</t>
  </si>
  <si>
    <t xml:space="preserve">J. Adeyemi (SOC)</t>
  </si>
  <si>
    <t xml:space="preserve">Endpoint Detection &amp; Response (EDR)</t>
  </si>
  <si>
    <t xml:space="preserve">SI-4, ISO A.8.16</t>
  </si>
  <si>
    <t xml:space="preserve">EDR agent rollout delayed on 40 field-sales laptops due to VPN bandwidth constraints.</t>
  </si>
  <si>
    <t xml:space="preserve">Interim host-based firewall hardening and manual log review</t>
  </si>
  <si>
    <t xml:space="preserve">J. Adeyemi</t>
  </si>
  <si>
    <t xml:space="preserve">Stagger EDR rollout in batches over next 3 weeks via off-peak sync.</t>
  </si>
  <si>
    <t xml:space="preserve">RXT-2026-012</t>
  </si>
  <si>
    <t xml:space="preserve">L. Adesanya (Legal)</t>
  </si>
  <si>
    <t xml:space="preserve">Legal &amp; Compliance</t>
  </si>
  <si>
    <t xml:space="preserve">Records Retention Schedule</t>
  </si>
  <si>
    <t xml:space="preserve">CA-5, ISO A.5.36</t>
  </si>
  <si>
    <t xml:space="preserve">Archived contract records retained 2 years beyond regulatory disposal date pending litigation hold review.</t>
  </si>
  <si>
    <t xml:space="preserve">Records isolated in restricted-access legal hold vault</t>
  </si>
  <si>
    <t xml:space="preserve">L. Adesanya</t>
  </si>
  <si>
    <t xml:space="preserve">General Counsel</t>
  </si>
  <si>
    <t xml:space="preserve">Release litigation hold and initiate disposal per schedule.</t>
  </si>
  <si>
    <t xml:space="preserve">RXT-2026-013</t>
  </si>
  <si>
    <t xml:space="preserve">B. Yusuf (Infra)</t>
  </si>
  <si>
    <t xml:space="preserve">Firewall Rule Set (Perimeter)</t>
  </si>
  <si>
    <t xml:space="preserve">AC-4, ISO A.8.20</t>
  </si>
  <si>
    <t xml:space="preserve">Broad outbound rule left temporarily open to support vendor data migration cutover.</t>
  </si>
  <si>
    <t xml:space="preserve">Rule scoped to single vendor IP range with expiry date set</t>
  </si>
  <si>
    <t xml:space="preserve">B. Yusuf</t>
  </si>
  <si>
    <t xml:space="preserve">Remove firewall rule immediately after migration cutover confirmed complete.</t>
  </si>
  <si>
    <t xml:space="preserve">RXT-2026-014</t>
  </si>
  <si>
    <t xml:space="preserve">H. Suleiman (App Dev)</t>
  </si>
  <si>
    <t xml:space="preserve">API Gateway Rate Limiting</t>
  </si>
  <si>
    <t xml:space="preserve">SC-5, ISO A.8.23</t>
  </si>
  <si>
    <t xml:space="preserve">Rate-limiting thresholds temporarily relaxed to support partner onboarding load test.</t>
  </si>
  <si>
    <t xml:space="preserve">Enhanced WAF monitoring and automatic rollback trigger configured</t>
  </si>
  <si>
    <t xml:space="preserve">H. Suleiman</t>
  </si>
  <si>
    <t xml:space="preserve">Restore standard thresholds after load test window closes.</t>
  </si>
  <si>
    <t xml:space="preserve">RXT-2026-015</t>
  </si>
  <si>
    <t xml:space="preserve">O. Balogun (TPRM)</t>
  </si>
  <si>
    <t xml:space="preserve">HR Payroll Outsourcing Vendor</t>
  </si>
  <si>
    <t xml:space="preserve">SR-2, ISO A.5.21</t>
  </si>
  <si>
    <t xml:space="preserve">Vendor annual penetration test report overdue by 3 weeks; renewal contract under negotiation.</t>
  </si>
  <si>
    <t xml:space="preserve">Interim vulnerability self-attestation obtained from vendor</t>
  </si>
  <si>
    <t xml:space="preserve">O. Balogun</t>
  </si>
  <si>
    <t xml:space="preserve">Obtain overdue pen-test report and reassess before contract renewal signature.</t>
  </si>
  <si>
    <t xml:space="preserve">GRC Exception Ticket Dashboard</t>
  </si>
  <si>
    <t xml:space="preserve">Meridian Trust Financial — live summary (auto-calculated from Ticket Register)</t>
  </si>
  <si>
    <t xml:space="preserve">Tickets by Status</t>
  </si>
  <si>
    <t xml:space="preserve">Open Tickets by Residual Risk</t>
  </si>
  <si>
    <t xml:space="preserve">Total</t>
  </si>
  <si>
    <t xml:space="preserve">SLA Health (open tickets only)</t>
  </si>
  <si>
    <t xml:space="preserve">Aging Metrics</t>
  </si>
  <si>
    <t xml:space="preserve">Average days open (all tickets)</t>
  </si>
  <si>
    <t xml:space="preserve">Due Soon (&lt;=5 days)</t>
  </si>
  <si>
    <t xml:space="preserve">Longest open ticket (days)</t>
  </si>
  <si>
    <t xml:space="preserve">Tickets reopened (total)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</si>
</sst>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Dashboard!$A$5:$A$11</c:f>
              <c:strCache>
                <c:ptCount val="7"/>
                <c:pt idx="0">
                  <c:v>Open</c:v>
                </c:pt>
                <c:pt idx="1">
                  <c:v>Pending Approval</c:v>
                </c:pt>
                <c:pt idx="2">
                  <c:v>In Remediation</c:v>
                </c:pt>
                <c:pt idx="3">
                  <c:v>Pending Verification</c:v>
                </c:pt>
                <c:pt idx="4">
                  <c:v>Reopened</c:v>
                </c:pt>
                <c:pt idx="5">
                  <c:v>Closed</c:v>
                </c:pt>
                <c:pt idx="6">
                  <c:v>Rejected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68717159"/>
        <c:axId val="83335156"/>
      </c:barChart>
      <c:catAx>
        <c:axId val="6871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35156"/>
        <c:crosses val="autoZero"/>
        <c:auto val="1"/>
        <c:lblAlgn val="ctr"/>
        <c:lblOffset val="100"/>
        <c:noMultiLvlLbl val="0"/>
      </c:catAx>
      <c:valAx>
        <c:axId val="83335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17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Tickets by Residual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Dashboard!$D$5:$D$8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Dashboard!$E$5:$E$8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130680</xdr:rowOff>
    </xdr:from>
    <xdr:to>
      <xdr:col>3</xdr:col>
      <xdr:colOff>1218240</xdr:colOff>
      <xdr:row>31</xdr:row>
      <xdr:rowOff>173880</xdr:rowOff>
    </xdr:to>
    <xdr:graphicFrame>
      <xdr:nvGraphicFramePr>
        <xdr:cNvPr id="0" name="Chart 1"/>
        <xdr:cNvGraphicFramePr/>
      </xdr:nvGraphicFramePr>
      <xdr:xfrm>
        <a:off x="0" y="3619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130680</xdr:rowOff>
    </xdr:from>
    <xdr:to>
      <xdr:col>7</xdr:col>
      <xdr:colOff>136440</xdr:colOff>
      <xdr:row>31</xdr:row>
      <xdr:rowOff>173880</xdr:rowOff>
    </xdr:to>
    <xdr:graphicFrame>
      <xdr:nvGraphicFramePr>
        <xdr:cNvPr id="1" name="Chart 2"/>
        <xdr:cNvGraphicFramePr/>
      </xdr:nvGraphicFramePr>
      <xdr:xfrm>
        <a:off x="3101400" y="3619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4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</row>
    <row r="2" customFormat="false" ht="15" hidden="false" customHeight="false" outlineLevel="0" collapsed="false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</row>
    <row r="3" customFormat="false" ht="15" hidden="false" customHeight="false" outlineLevel="0" collapsed="false">
      <c r="A3" s="6" t="s">
        <v>32</v>
      </c>
      <c r="B3" s="6" t="s">
        <v>33</v>
      </c>
      <c r="C3" s="6" t="s">
        <v>34</v>
      </c>
      <c r="D3" s="6" t="s">
        <v>28</v>
      </c>
      <c r="E3" s="6" t="s">
        <v>35</v>
      </c>
      <c r="F3" s="6" t="s">
        <v>36</v>
      </c>
    </row>
    <row r="4" customFormat="false" ht="15" hidden="false" customHeight="false" outlineLevel="0" collapsed="false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</row>
    <row r="5" customFormat="false" ht="15" hidden="false" customHeight="false" outlineLevel="0" collapsed="false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</row>
    <row r="6" customFormat="false" ht="15" hidden="false" customHeight="false" outlineLevel="0" collapsed="false">
      <c r="A6" s="6" t="s">
        <v>49</v>
      </c>
      <c r="C6" s="6" t="s">
        <v>50</v>
      </c>
      <c r="D6" s="6" t="s">
        <v>51</v>
      </c>
      <c r="E6" s="6" t="s">
        <v>52</v>
      </c>
    </row>
    <row r="7" customFormat="false" ht="15" hidden="false" customHeight="false" outlineLevel="0" collapsed="false">
      <c r="D7" s="6" t="s">
        <v>48</v>
      </c>
      <c r="E7" s="6" t="s">
        <v>53</v>
      </c>
    </row>
    <row r="8" customFormat="false" ht="15" hidden="false" customHeight="false" outlineLevel="0" collapsed="false">
      <c r="D8" s="6" t="s">
        <v>45</v>
      </c>
      <c r="E8" s="6" t="s">
        <v>54</v>
      </c>
    </row>
    <row r="9" customFormat="false" ht="15" hidden="false" customHeight="false" outlineLevel="0" collapsed="false">
      <c r="E9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2"/>
  </cols>
  <sheetData>
    <row r="1" customFormat="false" ht="28.35" hidden="false" customHeight="false" outlineLevel="0" collapsed="false">
      <c r="A1" s="7" t="s">
        <v>56</v>
      </c>
      <c r="B1" s="7" t="s">
        <v>57</v>
      </c>
      <c r="C1" s="7" t="s">
        <v>58</v>
      </c>
      <c r="D1" s="7" t="s">
        <v>59</v>
      </c>
    </row>
    <row r="2" customFormat="false" ht="28.35" hidden="false" customHeight="false" outlineLevel="0" collapsed="false">
      <c r="A2" s="8" t="s">
        <v>27</v>
      </c>
      <c r="B2" s="8" t="n">
        <v>15</v>
      </c>
      <c r="C2" s="8" t="s">
        <v>60</v>
      </c>
      <c r="D2" s="8" t="s">
        <v>61</v>
      </c>
    </row>
    <row r="3" customFormat="false" ht="28.35" hidden="false" customHeight="false" outlineLevel="0" collapsed="false">
      <c r="A3" s="8" t="s">
        <v>33</v>
      </c>
      <c r="B3" s="8" t="n">
        <v>30</v>
      </c>
      <c r="C3" s="8" t="s">
        <v>62</v>
      </c>
      <c r="D3" s="8" t="s">
        <v>63</v>
      </c>
    </row>
    <row r="4" customFormat="false" ht="15" hidden="false" customHeight="false" outlineLevel="0" collapsed="false">
      <c r="A4" s="8" t="s">
        <v>38</v>
      </c>
      <c r="B4" s="8" t="n">
        <v>60</v>
      </c>
      <c r="C4" s="8" t="s">
        <v>64</v>
      </c>
      <c r="D4" s="8" t="s">
        <v>65</v>
      </c>
    </row>
    <row r="5" customFormat="false" ht="15" hidden="false" customHeight="false" outlineLevel="0" collapsed="false">
      <c r="A5" s="8" t="s">
        <v>44</v>
      </c>
      <c r="B5" s="8" t="n">
        <v>90</v>
      </c>
      <c r="C5" s="8" t="s">
        <v>64</v>
      </c>
      <c r="D5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4" min="13" style="0" width="16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6"/>
    <col collapsed="false" customWidth="true" hidden="false" outlineLevel="0" max="20" min="20" style="0" width="34"/>
    <col collapsed="false" customWidth="true" hidden="false" outlineLevel="0" max="22" min="21" style="0" width="15"/>
    <col collapsed="false" customWidth="true" hidden="false" outlineLevel="0" max="23" min="23" style="0" width="16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14"/>
    <col collapsed="false" customWidth="true" hidden="false" outlineLevel="0" max="27" min="27" style="0" width="10"/>
    <col collapsed="false" customWidth="true" hidden="false" outlineLevel="0" max="28" min="28" style="0" width="18"/>
  </cols>
  <sheetData>
    <row r="1" customFormat="false" ht="23.85" hidden="false" customHeight="false" outlineLevel="0" collapsed="false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20</v>
      </c>
      <c r="I1" s="9" t="s">
        <v>74</v>
      </c>
      <c r="J1" s="9" t="s">
        <v>75</v>
      </c>
      <c r="K1" s="9" t="s">
        <v>76</v>
      </c>
      <c r="L1" s="9" t="s">
        <v>56</v>
      </c>
      <c r="M1" s="9" t="s">
        <v>77</v>
      </c>
      <c r="N1" s="9" t="s">
        <v>78</v>
      </c>
      <c r="O1" s="9" t="s">
        <v>22</v>
      </c>
      <c r="P1" s="9" t="s">
        <v>79</v>
      </c>
      <c r="Q1" s="9" t="s">
        <v>80</v>
      </c>
      <c r="R1" s="9" t="s">
        <v>81</v>
      </c>
      <c r="S1" s="9" t="s">
        <v>82</v>
      </c>
      <c r="T1" s="9" t="s">
        <v>83</v>
      </c>
      <c r="U1" s="9" t="s">
        <v>84</v>
      </c>
      <c r="V1" s="9" t="s">
        <v>85</v>
      </c>
      <c r="W1" s="9" t="s">
        <v>23</v>
      </c>
      <c r="X1" s="9" t="s">
        <v>86</v>
      </c>
      <c r="Y1" s="9" t="s">
        <v>87</v>
      </c>
      <c r="Z1" s="9" t="s">
        <v>88</v>
      </c>
      <c r="AA1" s="9" t="s">
        <v>89</v>
      </c>
      <c r="AB1" s="9" t="s">
        <v>90</v>
      </c>
    </row>
    <row r="2" customFormat="false" ht="23.85" hidden="false" customHeight="false" outlineLevel="0" collapsed="false">
      <c r="A2" s="10" t="s">
        <v>91</v>
      </c>
      <c r="B2" s="11" t="n">
        <v>46088</v>
      </c>
      <c r="C2" s="10" t="s">
        <v>92</v>
      </c>
      <c r="D2" s="10" t="s">
        <v>93</v>
      </c>
      <c r="E2" s="10" t="s">
        <v>94</v>
      </c>
      <c r="F2" s="10" t="s">
        <v>47</v>
      </c>
      <c r="G2" s="10" t="s">
        <v>95</v>
      </c>
      <c r="H2" s="10" t="s">
        <v>32</v>
      </c>
      <c r="I2" s="12" t="s">
        <v>96</v>
      </c>
      <c r="J2" s="10" t="s">
        <v>33</v>
      </c>
      <c r="K2" s="12" t="s">
        <v>97</v>
      </c>
      <c r="L2" s="10" t="s">
        <v>38</v>
      </c>
      <c r="M2" s="10" t="s">
        <v>98</v>
      </c>
      <c r="N2" s="10" t="s">
        <v>99</v>
      </c>
      <c r="O2" s="10" t="s">
        <v>39</v>
      </c>
      <c r="P2" s="11" t="n">
        <v>46098</v>
      </c>
      <c r="Q2" s="10" t="n">
        <f aca="false">IFERROR(VLOOKUP(L2,'SLA Matrix'!$A$2:$B$5,2,FALSE()),"")</f>
        <v>60</v>
      </c>
      <c r="R2" s="11" t="n">
        <f aca="false">IF(P2="","",IF(Q2="","",P2+Q2))</f>
        <v>46158</v>
      </c>
      <c r="S2" s="10" t="s">
        <v>100</v>
      </c>
      <c r="T2" s="12" t="s">
        <v>101</v>
      </c>
      <c r="U2" s="11" t="n">
        <v>46188</v>
      </c>
      <c r="V2" s="11" t="n">
        <v>46190</v>
      </c>
      <c r="W2" s="10" t="s">
        <v>48</v>
      </c>
      <c r="X2" s="10" t="n">
        <f aca="true">IF(V2&lt;&gt;"",V2-B2,TODAY()-B2)</f>
        <v>102</v>
      </c>
      <c r="Y2" s="10" t="str">
        <f aca="true">IF(W2="Closed","Closed",IF(R2="","N/A",IF(TODAY()&gt;R2,"Overdue",IF(R2-TODAY()&lt;=5,"Due Soon","On Track"))))</f>
        <v>Closed</v>
      </c>
      <c r="Z2" s="11" t="n">
        <f aca="false">IF(P2="","",P2+365)</f>
        <v>46463</v>
      </c>
      <c r="AA2" s="10" t="n">
        <v>0</v>
      </c>
      <c r="AB2" s="10" t="s">
        <v>102</v>
      </c>
    </row>
    <row r="3" customFormat="false" ht="23.85" hidden="false" customHeight="false" outlineLevel="0" collapsed="false">
      <c r="A3" s="13" t="s">
        <v>103</v>
      </c>
      <c r="B3" s="14" t="n">
        <v>46113</v>
      </c>
      <c r="C3" s="13" t="s">
        <v>104</v>
      </c>
      <c r="D3" s="13" t="s">
        <v>105</v>
      </c>
      <c r="E3" s="13" t="s">
        <v>106</v>
      </c>
      <c r="F3" s="13" t="s">
        <v>52</v>
      </c>
      <c r="G3" s="13" t="s">
        <v>107</v>
      </c>
      <c r="H3" s="13" t="s">
        <v>37</v>
      </c>
      <c r="I3" s="15" t="s">
        <v>108</v>
      </c>
      <c r="J3" s="13" t="s">
        <v>33</v>
      </c>
      <c r="K3" s="15" t="s">
        <v>109</v>
      </c>
      <c r="L3" s="13" t="s">
        <v>33</v>
      </c>
      <c r="M3" s="13" t="s">
        <v>110</v>
      </c>
      <c r="N3" s="13" t="s">
        <v>111</v>
      </c>
      <c r="O3" s="13" t="s">
        <v>39</v>
      </c>
      <c r="P3" s="14" t="n">
        <v>46120</v>
      </c>
      <c r="Q3" s="13" t="n">
        <f aca="false">IFERROR(VLOOKUP(L3,'SLA Matrix'!$A$2:$B$5,2,FALSE()),"")</f>
        <v>30</v>
      </c>
      <c r="R3" s="14" t="n">
        <f aca="false">IF(P3="","",IF(Q3="","",P3+Q3))</f>
        <v>46150</v>
      </c>
      <c r="S3" s="13" t="s">
        <v>110</v>
      </c>
      <c r="T3" s="15" t="s">
        <v>112</v>
      </c>
      <c r="U3" s="14" t="n">
        <v>46203</v>
      </c>
      <c r="V3" s="14"/>
      <c r="W3" s="13" t="s">
        <v>40</v>
      </c>
      <c r="X3" s="13" t="n">
        <f aca="true">IF(V3&lt;&gt;"",V3-B3,TODAY()-B3)</f>
        <v>96</v>
      </c>
      <c r="Y3" s="13" t="str">
        <f aca="true">IF(W3="Closed","Closed",IF(R3="","N/A",IF(TODAY()&gt;R3,"Overdue",IF(R3-TODAY()&lt;=5,"Due Soon","On Track"))))</f>
        <v>Overdue</v>
      </c>
      <c r="Z3" s="14" t="n">
        <f aca="false">IF(P3="","",P3+365)</f>
        <v>46485</v>
      </c>
      <c r="AA3" s="13" t="n">
        <v>0</v>
      </c>
      <c r="AB3" s="13"/>
    </row>
    <row r="4" customFormat="false" ht="35.05" hidden="false" customHeight="false" outlineLevel="0" collapsed="false">
      <c r="A4" s="10" t="s">
        <v>113</v>
      </c>
      <c r="B4" s="11" t="n">
        <v>46128</v>
      </c>
      <c r="C4" s="10" t="s">
        <v>114</v>
      </c>
      <c r="D4" s="10" t="s">
        <v>115</v>
      </c>
      <c r="E4" s="10" t="s">
        <v>116</v>
      </c>
      <c r="F4" s="10" t="s">
        <v>53</v>
      </c>
      <c r="G4" s="10" t="s">
        <v>117</v>
      </c>
      <c r="H4" s="10" t="s">
        <v>26</v>
      </c>
      <c r="I4" s="12" t="s">
        <v>118</v>
      </c>
      <c r="J4" s="10" t="s">
        <v>38</v>
      </c>
      <c r="K4" s="12" t="s">
        <v>119</v>
      </c>
      <c r="L4" s="10" t="s">
        <v>44</v>
      </c>
      <c r="M4" s="10" t="s">
        <v>120</v>
      </c>
      <c r="N4" s="10" t="s">
        <v>121</v>
      </c>
      <c r="O4" s="10" t="s">
        <v>34</v>
      </c>
      <c r="P4" s="11" t="n">
        <v>46133</v>
      </c>
      <c r="Q4" s="10" t="n">
        <f aca="false">IFERROR(VLOOKUP(L4,'SLA Matrix'!$A$2:$B$5,2,FALSE()),"")</f>
        <v>90</v>
      </c>
      <c r="R4" s="11" t="n">
        <f aca="false">IF(P4="","",IF(Q4="","",P4+Q4))</f>
        <v>46223</v>
      </c>
      <c r="S4" s="10" t="s">
        <v>120</v>
      </c>
      <c r="T4" s="12" t="s">
        <v>122</v>
      </c>
      <c r="U4" s="11" t="n">
        <v>46193</v>
      </c>
      <c r="V4" s="11" t="n">
        <v>46194</v>
      </c>
      <c r="W4" s="10" t="s">
        <v>48</v>
      </c>
      <c r="X4" s="10" t="n">
        <f aca="true">IF(V4&lt;&gt;"",V4-B4,TODAY()-B4)</f>
        <v>66</v>
      </c>
      <c r="Y4" s="10" t="str">
        <f aca="true">IF(W4="Closed","Closed",IF(R4="","N/A",IF(TODAY()&gt;R4,"Overdue",IF(R4-TODAY()&lt;=5,"Due Soon","On Track"))))</f>
        <v>Closed</v>
      </c>
      <c r="Z4" s="11" t="n">
        <f aca="false">IF(P4="","",P4+365)</f>
        <v>46498</v>
      </c>
      <c r="AA4" s="10" t="n">
        <v>0</v>
      </c>
      <c r="AB4" s="10" t="s">
        <v>123</v>
      </c>
    </row>
    <row r="5" customFormat="false" ht="35.05" hidden="false" customHeight="false" outlineLevel="0" collapsed="false">
      <c r="A5" s="13" t="s">
        <v>124</v>
      </c>
      <c r="B5" s="14" t="n">
        <v>46148</v>
      </c>
      <c r="C5" s="13" t="s">
        <v>125</v>
      </c>
      <c r="D5" s="13" t="s">
        <v>126</v>
      </c>
      <c r="E5" s="13" t="s">
        <v>127</v>
      </c>
      <c r="F5" s="13" t="s">
        <v>30</v>
      </c>
      <c r="G5" s="13" t="s">
        <v>128</v>
      </c>
      <c r="H5" s="13" t="s">
        <v>26</v>
      </c>
      <c r="I5" s="15" t="s">
        <v>129</v>
      </c>
      <c r="J5" s="13" t="s">
        <v>38</v>
      </c>
      <c r="K5" s="15" t="s">
        <v>130</v>
      </c>
      <c r="L5" s="13" t="s">
        <v>44</v>
      </c>
      <c r="M5" s="13" t="s">
        <v>131</v>
      </c>
      <c r="N5" s="13" t="s">
        <v>132</v>
      </c>
      <c r="O5" s="13" t="s">
        <v>34</v>
      </c>
      <c r="P5" s="14" t="n">
        <v>46150</v>
      </c>
      <c r="Q5" s="13" t="n">
        <f aca="false">IFERROR(VLOOKUP(L5,'SLA Matrix'!$A$2:$B$5,2,FALSE()),"")</f>
        <v>90</v>
      </c>
      <c r="R5" s="14" t="n">
        <f aca="false">IF(P5="","",IF(Q5="","",P5+Q5))</f>
        <v>46240</v>
      </c>
      <c r="S5" s="13" t="s">
        <v>131</v>
      </c>
      <c r="T5" s="15" t="s">
        <v>133</v>
      </c>
      <c r="U5" s="14" t="n">
        <v>46180</v>
      </c>
      <c r="V5" s="14" t="n">
        <v>46180</v>
      </c>
      <c r="W5" s="13" t="s">
        <v>48</v>
      </c>
      <c r="X5" s="13" t="n">
        <f aca="true">IF(V5&lt;&gt;"",V5-B5,TODAY()-B5)</f>
        <v>32</v>
      </c>
      <c r="Y5" s="13" t="str">
        <f aca="true">IF(W5="Closed","Closed",IF(R5="","N/A",IF(TODAY()&gt;R5,"Overdue",IF(R5-TODAY()&lt;=5,"Due Soon","On Track"))))</f>
        <v>Closed</v>
      </c>
      <c r="Z5" s="14" t="n">
        <f aca="false">IF(P5="","",P5+365)</f>
        <v>46515</v>
      </c>
      <c r="AA5" s="13" t="n">
        <v>0</v>
      </c>
      <c r="AB5" s="13" t="s">
        <v>134</v>
      </c>
    </row>
    <row r="6" customFormat="false" ht="35.05" hidden="false" customHeight="false" outlineLevel="0" collapsed="false">
      <c r="A6" s="10" t="s">
        <v>135</v>
      </c>
      <c r="B6" s="11" t="n">
        <v>46153</v>
      </c>
      <c r="C6" s="10" t="s">
        <v>136</v>
      </c>
      <c r="D6" s="10" t="s">
        <v>137</v>
      </c>
      <c r="E6" s="10" t="s">
        <v>138</v>
      </c>
      <c r="F6" s="10" t="s">
        <v>41</v>
      </c>
      <c r="G6" s="10" t="s">
        <v>139</v>
      </c>
      <c r="H6" s="10" t="s">
        <v>37</v>
      </c>
      <c r="I6" s="12" t="s">
        <v>140</v>
      </c>
      <c r="J6" s="10" t="s">
        <v>38</v>
      </c>
      <c r="K6" s="12" t="s">
        <v>141</v>
      </c>
      <c r="L6" s="10" t="s">
        <v>38</v>
      </c>
      <c r="M6" s="10" t="s">
        <v>142</v>
      </c>
      <c r="N6" s="10" t="s">
        <v>111</v>
      </c>
      <c r="O6" s="10" t="s">
        <v>50</v>
      </c>
      <c r="P6" s="11"/>
      <c r="Q6" s="10" t="n">
        <f aca="false">IFERROR(VLOOKUP(L6,'SLA Matrix'!$A$2:$B$5,2,FALSE()),"")</f>
        <v>60</v>
      </c>
      <c r="R6" s="11" t="str">
        <f aca="false">IF(P6="","",IF(Q6="","",P6+Q6))</f>
        <v/>
      </c>
      <c r="S6" s="10" t="s">
        <v>142</v>
      </c>
      <c r="T6" s="12" t="s">
        <v>143</v>
      </c>
      <c r="U6" s="11" t="n">
        <v>46218</v>
      </c>
      <c r="V6" s="11"/>
      <c r="W6" s="10" t="s">
        <v>28</v>
      </c>
      <c r="X6" s="10" t="n">
        <f aca="true">IF(V6&lt;&gt;"",V6-B6,TODAY()-B6)</f>
        <v>56</v>
      </c>
      <c r="Y6" s="10" t="str">
        <f aca="true">IF(W6="Closed","Closed",IF(R6="","N/A",IF(TODAY()&gt;R6,"Overdue",IF(R6-TODAY()&lt;=5,"Due Soon","On Track"))))</f>
        <v>N/A</v>
      </c>
      <c r="Z6" s="11" t="str">
        <f aca="false">IF(P6="","",P6+365)</f>
        <v/>
      </c>
      <c r="AA6" s="10" t="n">
        <v>0</v>
      </c>
      <c r="AB6" s="10"/>
    </row>
    <row r="7" customFormat="false" ht="35.05" hidden="false" customHeight="false" outlineLevel="0" collapsed="false">
      <c r="A7" s="13" t="s">
        <v>144</v>
      </c>
      <c r="B7" s="14" t="n">
        <v>46160</v>
      </c>
      <c r="C7" s="13" t="s">
        <v>145</v>
      </c>
      <c r="D7" s="13" t="s">
        <v>146</v>
      </c>
      <c r="E7" s="13" t="s">
        <v>147</v>
      </c>
      <c r="F7" s="13" t="s">
        <v>47</v>
      </c>
      <c r="G7" s="13" t="s">
        <v>148</v>
      </c>
      <c r="H7" s="13" t="s">
        <v>32</v>
      </c>
      <c r="I7" s="15" t="s">
        <v>149</v>
      </c>
      <c r="J7" s="13" t="s">
        <v>38</v>
      </c>
      <c r="K7" s="15" t="s">
        <v>150</v>
      </c>
      <c r="L7" s="13" t="s">
        <v>38</v>
      </c>
      <c r="M7" s="13" t="s">
        <v>151</v>
      </c>
      <c r="N7" s="13" t="s">
        <v>99</v>
      </c>
      <c r="O7" s="13" t="s">
        <v>39</v>
      </c>
      <c r="P7" s="14" t="n">
        <v>46168</v>
      </c>
      <c r="Q7" s="13" t="n">
        <f aca="false">IFERROR(VLOOKUP(L7,'SLA Matrix'!$A$2:$B$5,2,FALSE()),"")</f>
        <v>60</v>
      </c>
      <c r="R7" s="14" t="n">
        <f aca="false">IF(P7="","",IF(Q7="","",P7+Q7))</f>
        <v>46228</v>
      </c>
      <c r="S7" s="13" t="s">
        <v>151</v>
      </c>
      <c r="T7" s="15" t="s">
        <v>152</v>
      </c>
      <c r="U7" s="14" t="n">
        <v>46298</v>
      </c>
      <c r="V7" s="14"/>
      <c r="W7" s="13" t="s">
        <v>40</v>
      </c>
      <c r="X7" s="13" t="n">
        <f aca="true">IF(V7&lt;&gt;"",V7-B7,TODAY()-B7)</f>
        <v>49</v>
      </c>
      <c r="Y7" s="13" t="str">
        <f aca="true">IF(W7="Closed","Closed",IF(R7="","N/A",IF(TODAY()&gt;R7,"Overdue",IF(R7-TODAY()&lt;=5,"Due Soon","On Track"))))</f>
        <v>On Track</v>
      </c>
      <c r="Z7" s="14" t="n">
        <f aca="false">IF(P7="","",P7+365)</f>
        <v>46533</v>
      </c>
      <c r="AA7" s="13" t="n">
        <v>0</v>
      </c>
      <c r="AB7" s="13"/>
    </row>
    <row r="8" customFormat="false" ht="23.85" hidden="false" customHeight="false" outlineLevel="0" collapsed="false">
      <c r="A8" s="10" t="s">
        <v>153</v>
      </c>
      <c r="B8" s="11" t="n">
        <v>46168</v>
      </c>
      <c r="C8" s="10" t="s">
        <v>154</v>
      </c>
      <c r="D8" s="10" t="s">
        <v>155</v>
      </c>
      <c r="E8" s="10" t="s">
        <v>156</v>
      </c>
      <c r="F8" s="10" t="s">
        <v>54</v>
      </c>
      <c r="G8" s="10" t="s">
        <v>157</v>
      </c>
      <c r="H8" s="10" t="s">
        <v>43</v>
      </c>
      <c r="I8" s="12" t="s">
        <v>158</v>
      </c>
      <c r="J8" s="10" t="s">
        <v>33</v>
      </c>
      <c r="K8" s="12" t="s">
        <v>159</v>
      </c>
      <c r="L8" s="10" t="s">
        <v>38</v>
      </c>
      <c r="M8" s="10" t="s">
        <v>160</v>
      </c>
      <c r="N8" s="10" t="s">
        <v>161</v>
      </c>
      <c r="O8" s="10" t="s">
        <v>39</v>
      </c>
      <c r="P8" s="11" t="n">
        <v>46173</v>
      </c>
      <c r="Q8" s="10" t="n">
        <f aca="false">IFERROR(VLOOKUP(L8,'SLA Matrix'!$A$2:$B$5,2,FALSE()),"")</f>
        <v>60</v>
      </c>
      <c r="R8" s="11" t="n">
        <f aca="false">IF(P8="","",IF(Q8="","",P8+Q8))</f>
        <v>46233</v>
      </c>
      <c r="S8" s="10" t="s">
        <v>160</v>
      </c>
      <c r="T8" s="12" t="s">
        <v>162</v>
      </c>
      <c r="U8" s="11" t="n">
        <v>46206</v>
      </c>
      <c r="V8" s="11"/>
      <c r="W8" s="10" t="s">
        <v>51</v>
      </c>
      <c r="X8" s="10" t="n">
        <f aca="true">IF(V8&lt;&gt;"",V8-B8,TODAY()-B8)</f>
        <v>41</v>
      </c>
      <c r="Y8" s="10" t="str">
        <f aca="true">IF(W8="Closed","Closed",IF(R8="","N/A",IF(TODAY()&gt;R8,"Overdue",IF(R8-TODAY()&lt;=5,"Due Soon","On Track"))))</f>
        <v>On Track</v>
      </c>
      <c r="Z8" s="11" t="n">
        <f aca="false">IF(P8="","",P8+365)</f>
        <v>46538</v>
      </c>
      <c r="AA8" s="10" t="n">
        <v>1</v>
      </c>
      <c r="AB8" s="10"/>
    </row>
    <row r="9" customFormat="false" ht="35.05" hidden="false" customHeight="false" outlineLevel="0" collapsed="false">
      <c r="A9" s="13" t="s">
        <v>163</v>
      </c>
      <c r="B9" s="14" t="n">
        <v>46178</v>
      </c>
      <c r="C9" s="13" t="s">
        <v>164</v>
      </c>
      <c r="D9" s="13" t="s">
        <v>115</v>
      </c>
      <c r="E9" s="13" t="s">
        <v>165</v>
      </c>
      <c r="F9" s="13" t="s">
        <v>30</v>
      </c>
      <c r="G9" s="13" t="s">
        <v>166</v>
      </c>
      <c r="H9" s="13" t="s">
        <v>26</v>
      </c>
      <c r="I9" s="15" t="s">
        <v>167</v>
      </c>
      <c r="J9" s="13" t="s">
        <v>38</v>
      </c>
      <c r="K9" s="15" t="s">
        <v>168</v>
      </c>
      <c r="L9" s="13" t="s">
        <v>44</v>
      </c>
      <c r="M9" s="13" t="s">
        <v>169</v>
      </c>
      <c r="N9" s="13" t="s">
        <v>111</v>
      </c>
      <c r="O9" s="13" t="s">
        <v>34</v>
      </c>
      <c r="P9" s="14" t="n">
        <v>46180</v>
      </c>
      <c r="Q9" s="13" t="n">
        <f aca="false">IFERROR(VLOOKUP(L9,'SLA Matrix'!$A$2:$B$5,2,FALSE()),"")</f>
        <v>90</v>
      </c>
      <c r="R9" s="14" t="n">
        <f aca="false">IF(P9="","",IF(Q9="","",P9+Q9))</f>
        <v>46270</v>
      </c>
      <c r="S9" s="13" t="s">
        <v>169</v>
      </c>
      <c r="T9" s="15" t="s">
        <v>170</v>
      </c>
      <c r="U9" s="14" t="n">
        <v>46228</v>
      </c>
      <c r="V9" s="14"/>
      <c r="W9" s="13" t="s">
        <v>40</v>
      </c>
      <c r="X9" s="13" t="n">
        <f aca="true">IF(V9&lt;&gt;"",V9-B9,TODAY()-B9)</f>
        <v>31</v>
      </c>
      <c r="Y9" s="13" t="str">
        <f aca="true">IF(W9="Closed","Closed",IF(R9="","N/A",IF(TODAY()&gt;R9,"Overdue",IF(R9-TODAY()&lt;=5,"Due Soon","On Track"))))</f>
        <v>On Track</v>
      </c>
      <c r="Z9" s="14" t="n">
        <f aca="false">IF(P9="","",P9+365)</f>
        <v>46545</v>
      </c>
      <c r="AA9" s="13" t="n">
        <v>0</v>
      </c>
      <c r="AB9" s="13"/>
    </row>
    <row r="10" customFormat="false" ht="35.05" hidden="false" customHeight="false" outlineLevel="0" collapsed="false">
      <c r="A10" s="10" t="s">
        <v>171</v>
      </c>
      <c r="B10" s="11" t="n">
        <v>46183</v>
      </c>
      <c r="C10" s="10" t="s">
        <v>172</v>
      </c>
      <c r="D10" s="10" t="s">
        <v>105</v>
      </c>
      <c r="E10" s="10" t="s">
        <v>173</v>
      </c>
      <c r="F10" s="10" t="s">
        <v>53</v>
      </c>
      <c r="G10" s="10" t="s">
        <v>174</v>
      </c>
      <c r="H10" s="10" t="s">
        <v>37</v>
      </c>
      <c r="I10" s="12" t="s">
        <v>175</v>
      </c>
      <c r="J10" s="10" t="s">
        <v>33</v>
      </c>
      <c r="K10" s="12" t="s">
        <v>176</v>
      </c>
      <c r="L10" s="10" t="s">
        <v>33</v>
      </c>
      <c r="M10" s="10" t="s">
        <v>177</v>
      </c>
      <c r="N10" s="10" t="s">
        <v>111</v>
      </c>
      <c r="O10" s="10" t="s">
        <v>28</v>
      </c>
      <c r="P10" s="11"/>
      <c r="Q10" s="10" t="n">
        <f aca="false">IFERROR(VLOOKUP(L10,'SLA Matrix'!$A$2:$B$5,2,FALSE()),"")</f>
        <v>30</v>
      </c>
      <c r="R10" s="11" t="str">
        <f aca="false">IF(P10="","",IF(Q10="","",P10+Q10))</f>
        <v/>
      </c>
      <c r="S10" s="10" t="s">
        <v>177</v>
      </c>
      <c r="T10" s="12" t="s">
        <v>178</v>
      </c>
      <c r="U10" s="11" t="n">
        <v>46215</v>
      </c>
      <c r="V10" s="11"/>
      <c r="W10" s="10" t="s">
        <v>29</v>
      </c>
      <c r="X10" s="10" t="n">
        <f aca="true">IF(V10&lt;&gt;"",V10-B10,TODAY()-B10)</f>
        <v>26</v>
      </c>
      <c r="Y10" s="10" t="str">
        <f aca="true">IF(W10="Closed","Closed",IF(R10="","N/A",IF(TODAY()&gt;R10,"Overdue",IF(R10-TODAY()&lt;=5,"Due Soon","On Track"))))</f>
        <v>N/A</v>
      </c>
      <c r="Z10" s="11" t="str">
        <f aca="false">IF(P10="","",P10+365)</f>
        <v/>
      </c>
      <c r="AA10" s="10" t="n">
        <v>0</v>
      </c>
      <c r="AB10" s="10"/>
    </row>
    <row r="11" customFormat="false" ht="35.05" hidden="false" customHeight="false" outlineLevel="0" collapsed="false">
      <c r="A11" s="13" t="s">
        <v>179</v>
      </c>
      <c r="B11" s="14" t="n">
        <v>46190</v>
      </c>
      <c r="C11" s="13" t="s">
        <v>180</v>
      </c>
      <c r="D11" s="13" t="s">
        <v>181</v>
      </c>
      <c r="E11" s="13" t="s">
        <v>182</v>
      </c>
      <c r="F11" s="13" t="s">
        <v>35</v>
      </c>
      <c r="G11" s="13" t="s">
        <v>183</v>
      </c>
      <c r="H11" s="13" t="s">
        <v>26</v>
      </c>
      <c r="I11" s="15" t="s">
        <v>184</v>
      </c>
      <c r="J11" s="13" t="s">
        <v>38</v>
      </c>
      <c r="K11" s="15" t="s">
        <v>185</v>
      </c>
      <c r="L11" s="13" t="s">
        <v>44</v>
      </c>
      <c r="M11" s="13" t="s">
        <v>186</v>
      </c>
      <c r="N11" s="13" t="s">
        <v>187</v>
      </c>
      <c r="O11" s="13" t="s">
        <v>34</v>
      </c>
      <c r="P11" s="14" t="n">
        <v>46191</v>
      </c>
      <c r="Q11" s="13" t="n">
        <f aca="false">IFERROR(VLOOKUP(L11,'SLA Matrix'!$A$2:$B$5,2,FALSE()),"")</f>
        <v>90</v>
      </c>
      <c r="R11" s="14" t="n">
        <f aca="false">IF(P11="","",IF(Q11="","",P11+Q11))</f>
        <v>46281</v>
      </c>
      <c r="S11" s="13" t="s">
        <v>186</v>
      </c>
      <c r="T11" s="15" t="s">
        <v>188</v>
      </c>
      <c r="U11" s="14" t="n">
        <v>46198</v>
      </c>
      <c r="V11" s="14" t="n">
        <v>46199</v>
      </c>
      <c r="W11" s="13" t="s">
        <v>48</v>
      </c>
      <c r="X11" s="13" t="n">
        <f aca="true">IF(V11&lt;&gt;"",V11-B11,TODAY()-B11)</f>
        <v>9</v>
      </c>
      <c r="Y11" s="13" t="str">
        <f aca="true">IF(W11="Closed","Closed",IF(R11="","N/A",IF(TODAY()&gt;R11,"Overdue",IF(R11-TODAY()&lt;=5,"Due Soon","On Track"))))</f>
        <v>Closed</v>
      </c>
      <c r="Z11" s="14" t="n">
        <f aca="false">IF(P11="","",P11+365)</f>
        <v>46556</v>
      </c>
      <c r="AA11" s="13" t="n">
        <v>0</v>
      </c>
      <c r="AB11" s="13" t="s">
        <v>189</v>
      </c>
    </row>
    <row r="12" customFormat="false" ht="23.85" hidden="false" customHeight="false" outlineLevel="0" collapsed="false">
      <c r="A12" s="10" t="s">
        <v>190</v>
      </c>
      <c r="B12" s="11" t="n">
        <v>46194</v>
      </c>
      <c r="C12" s="10" t="s">
        <v>191</v>
      </c>
      <c r="D12" s="10" t="s">
        <v>137</v>
      </c>
      <c r="E12" s="10" t="s">
        <v>192</v>
      </c>
      <c r="F12" s="10" t="s">
        <v>41</v>
      </c>
      <c r="G12" s="10" t="s">
        <v>193</v>
      </c>
      <c r="H12" s="10" t="s">
        <v>49</v>
      </c>
      <c r="I12" s="12" t="s">
        <v>194</v>
      </c>
      <c r="J12" s="10" t="s">
        <v>38</v>
      </c>
      <c r="K12" s="12" t="s">
        <v>195</v>
      </c>
      <c r="L12" s="10" t="s">
        <v>38</v>
      </c>
      <c r="M12" s="10" t="s">
        <v>196</v>
      </c>
      <c r="N12" s="10" t="s">
        <v>111</v>
      </c>
      <c r="O12" s="10" t="s">
        <v>39</v>
      </c>
      <c r="P12" s="11" t="n">
        <v>46198</v>
      </c>
      <c r="Q12" s="10" t="n">
        <f aca="false">IFERROR(VLOOKUP(L12,'SLA Matrix'!$A$2:$B$5,2,FALSE()),"")</f>
        <v>60</v>
      </c>
      <c r="R12" s="11" t="n">
        <f aca="false">IF(P12="","",IF(Q12="","",P12+Q12))</f>
        <v>46258</v>
      </c>
      <c r="S12" s="10" t="s">
        <v>196</v>
      </c>
      <c r="T12" s="12" t="s">
        <v>197</v>
      </c>
      <c r="U12" s="11" t="n">
        <v>46223</v>
      </c>
      <c r="V12" s="11"/>
      <c r="W12" s="10" t="s">
        <v>40</v>
      </c>
      <c r="X12" s="10" t="n">
        <f aca="true">IF(V12&lt;&gt;"",V12-B12,TODAY()-B12)</f>
        <v>15</v>
      </c>
      <c r="Y12" s="10" t="str">
        <f aca="true">IF(W12="Closed","Closed",IF(R12="","N/A",IF(TODAY()&gt;R12,"Overdue",IF(R12-TODAY()&lt;=5,"Due Soon","On Track"))))</f>
        <v>On Track</v>
      </c>
      <c r="Z12" s="11" t="n">
        <f aca="false">IF(P12="","",P12+365)</f>
        <v>46563</v>
      </c>
      <c r="AA12" s="10" t="n">
        <v>0</v>
      </c>
      <c r="AB12" s="10"/>
    </row>
    <row r="13" customFormat="false" ht="35.05" hidden="false" customHeight="false" outlineLevel="0" collapsed="false">
      <c r="A13" s="13" t="s">
        <v>198</v>
      </c>
      <c r="B13" s="14" t="n">
        <v>46198</v>
      </c>
      <c r="C13" s="13" t="s">
        <v>199</v>
      </c>
      <c r="D13" s="13" t="s">
        <v>200</v>
      </c>
      <c r="E13" s="13" t="s">
        <v>201</v>
      </c>
      <c r="F13" s="13" t="s">
        <v>55</v>
      </c>
      <c r="G13" s="13" t="s">
        <v>202</v>
      </c>
      <c r="H13" s="13" t="s">
        <v>32</v>
      </c>
      <c r="I13" s="15" t="s">
        <v>203</v>
      </c>
      <c r="J13" s="13" t="s">
        <v>44</v>
      </c>
      <c r="K13" s="15" t="s">
        <v>204</v>
      </c>
      <c r="L13" s="13" t="s">
        <v>44</v>
      </c>
      <c r="M13" s="13" t="s">
        <v>205</v>
      </c>
      <c r="N13" s="13" t="s">
        <v>206</v>
      </c>
      <c r="O13" s="13" t="s">
        <v>34</v>
      </c>
      <c r="P13" s="14" t="n">
        <v>46200</v>
      </c>
      <c r="Q13" s="13" t="n">
        <f aca="false">IFERROR(VLOOKUP(L13,'SLA Matrix'!$A$2:$B$5,2,FALSE()),"")</f>
        <v>90</v>
      </c>
      <c r="R13" s="14" t="n">
        <f aca="false">IF(P13="","",IF(Q13="","",P13+Q13))</f>
        <v>46290</v>
      </c>
      <c r="S13" s="13" t="s">
        <v>205</v>
      </c>
      <c r="T13" s="15" t="s">
        <v>207</v>
      </c>
      <c r="U13" s="14" t="n">
        <v>46253</v>
      </c>
      <c r="V13" s="14"/>
      <c r="W13" s="13" t="s">
        <v>29</v>
      </c>
      <c r="X13" s="13" t="n">
        <f aca="true">IF(V13&lt;&gt;"",V13-B13,TODAY()-B13)</f>
        <v>11</v>
      </c>
      <c r="Y13" s="13" t="str">
        <f aca="true">IF(W13="Closed","Closed",IF(R13="","N/A",IF(TODAY()&gt;R13,"Overdue",IF(R13-TODAY()&lt;=5,"Due Soon","On Track"))))</f>
        <v>On Track</v>
      </c>
      <c r="Z13" s="14" t="n">
        <f aca="false">IF(P13="","",P13+365)</f>
        <v>46565</v>
      </c>
      <c r="AA13" s="13" t="n">
        <v>0</v>
      </c>
      <c r="AB13" s="13"/>
    </row>
    <row r="14" customFormat="false" ht="23.85" hidden="false" customHeight="false" outlineLevel="0" collapsed="false">
      <c r="A14" s="10" t="s">
        <v>208</v>
      </c>
      <c r="B14" s="11" t="n">
        <v>46201</v>
      </c>
      <c r="C14" s="10" t="s">
        <v>209</v>
      </c>
      <c r="D14" s="10" t="s">
        <v>105</v>
      </c>
      <c r="E14" s="10" t="s">
        <v>210</v>
      </c>
      <c r="F14" s="10" t="s">
        <v>30</v>
      </c>
      <c r="G14" s="10" t="s">
        <v>211</v>
      </c>
      <c r="H14" s="10" t="s">
        <v>37</v>
      </c>
      <c r="I14" s="12" t="s">
        <v>212</v>
      </c>
      <c r="J14" s="10" t="s">
        <v>33</v>
      </c>
      <c r="K14" s="12" t="s">
        <v>213</v>
      </c>
      <c r="L14" s="10" t="s">
        <v>38</v>
      </c>
      <c r="M14" s="10" t="s">
        <v>214</v>
      </c>
      <c r="N14" s="10" t="s">
        <v>111</v>
      </c>
      <c r="O14" s="10" t="s">
        <v>39</v>
      </c>
      <c r="P14" s="11" t="n">
        <v>46202</v>
      </c>
      <c r="Q14" s="10" t="n">
        <f aca="false">IFERROR(VLOOKUP(L14,'SLA Matrix'!$A$2:$B$5,2,FALSE()),"")</f>
        <v>60</v>
      </c>
      <c r="R14" s="11" t="n">
        <f aca="false">IF(P14="","",IF(Q14="","",P14+Q14))</f>
        <v>46262</v>
      </c>
      <c r="S14" s="10" t="s">
        <v>214</v>
      </c>
      <c r="T14" s="12" t="s">
        <v>215</v>
      </c>
      <c r="U14" s="11" t="n">
        <v>46211</v>
      </c>
      <c r="V14" s="11"/>
      <c r="W14" s="10" t="s">
        <v>29</v>
      </c>
      <c r="X14" s="10" t="n">
        <f aca="true">IF(V14&lt;&gt;"",V14-B14,TODAY()-B14)</f>
        <v>8</v>
      </c>
      <c r="Y14" s="10" t="str">
        <f aca="true">IF(W14="Closed","Closed",IF(R14="","N/A",IF(TODAY()&gt;R14,"Overdue",IF(R14-TODAY()&lt;=5,"Due Soon","On Track"))))</f>
        <v>On Track</v>
      </c>
      <c r="Z14" s="11" t="n">
        <f aca="false">IF(P14="","",P14+365)</f>
        <v>46567</v>
      </c>
      <c r="AA14" s="10" t="n">
        <v>0</v>
      </c>
      <c r="AB14" s="10"/>
    </row>
    <row r="15" customFormat="false" ht="23.85" hidden="false" customHeight="false" outlineLevel="0" collapsed="false">
      <c r="A15" s="13" t="s">
        <v>216</v>
      </c>
      <c r="B15" s="14" t="n">
        <v>46204</v>
      </c>
      <c r="C15" s="13" t="s">
        <v>217</v>
      </c>
      <c r="D15" s="13" t="s">
        <v>115</v>
      </c>
      <c r="E15" s="13" t="s">
        <v>218</v>
      </c>
      <c r="F15" s="13" t="s">
        <v>52</v>
      </c>
      <c r="G15" s="13" t="s">
        <v>219</v>
      </c>
      <c r="H15" s="13" t="s">
        <v>26</v>
      </c>
      <c r="I15" s="15" t="s">
        <v>220</v>
      </c>
      <c r="J15" s="13" t="s">
        <v>38</v>
      </c>
      <c r="K15" s="15" t="s">
        <v>221</v>
      </c>
      <c r="L15" s="13" t="s">
        <v>44</v>
      </c>
      <c r="M15" s="13" t="s">
        <v>222</v>
      </c>
      <c r="N15" s="13" t="s">
        <v>121</v>
      </c>
      <c r="O15" s="13" t="s">
        <v>28</v>
      </c>
      <c r="P15" s="14"/>
      <c r="Q15" s="13" t="n">
        <f aca="false">IFERROR(VLOOKUP(L15,'SLA Matrix'!$A$2:$B$5,2,FALSE()),"")</f>
        <v>90</v>
      </c>
      <c r="R15" s="14" t="str">
        <f aca="false">IF(P15="","",IF(Q15="","",P15+Q15))</f>
        <v/>
      </c>
      <c r="S15" s="13" t="s">
        <v>222</v>
      </c>
      <c r="T15" s="15" t="s">
        <v>223</v>
      </c>
      <c r="U15" s="14" t="n">
        <v>46210</v>
      </c>
      <c r="V15" s="14"/>
      <c r="W15" s="13" t="s">
        <v>29</v>
      </c>
      <c r="X15" s="13" t="n">
        <f aca="true">IF(V15&lt;&gt;"",V15-B15,TODAY()-B15)</f>
        <v>5</v>
      </c>
      <c r="Y15" s="13" t="str">
        <f aca="true">IF(W15="Closed","Closed",IF(R15="","N/A",IF(TODAY()&gt;R15,"Overdue",IF(R15-TODAY()&lt;=5,"Due Soon","On Track"))))</f>
        <v>N/A</v>
      </c>
      <c r="Z15" s="14" t="str">
        <f aca="false">IF(P15="","",P15+365)</f>
        <v/>
      </c>
      <c r="AA15" s="13" t="n">
        <v>0</v>
      </c>
      <c r="AB15" s="13"/>
    </row>
    <row r="16" customFormat="false" ht="35.05" hidden="false" customHeight="false" outlineLevel="0" collapsed="false">
      <c r="A16" s="10" t="s">
        <v>224</v>
      </c>
      <c r="B16" s="11" t="n">
        <v>46206</v>
      </c>
      <c r="C16" s="10" t="s">
        <v>225</v>
      </c>
      <c r="D16" s="10" t="s">
        <v>146</v>
      </c>
      <c r="E16" s="10" t="s">
        <v>226</v>
      </c>
      <c r="F16" s="10" t="s">
        <v>47</v>
      </c>
      <c r="G16" s="10" t="s">
        <v>227</v>
      </c>
      <c r="H16" s="10" t="s">
        <v>32</v>
      </c>
      <c r="I16" s="12" t="s">
        <v>228</v>
      </c>
      <c r="J16" s="10" t="s">
        <v>38</v>
      </c>
      <c r="K16" s="12" t="s">
        <v>229</v>
      </c>
      <c r="L16" s="10" t="s">
        <v>38</v>
      </c>
      <c r="M16" s="10" t="s">
        <v>230</v>
      </c>
      <c r="N16" s="10" t="s">
        <v>99</v>
      </c>
      <c r="O16" s="10" t="s">
        <v>28</v>
      </c>
      <c r="P16" s="11"/>
      <c r="Q16" s="10" t="n">
        <f aca="false">IFERROR(VLOOKUP(L16,'SLA Matrix'!$A$2:$B$5,2,FALSE()),"")</f>
        <v>60</v>
      </c>
      <c r="R16" s="11" t="str">
        <f aca="false">IF(P16="","",IF(Q16="","",P16+Q16))</f>
        <v/>
      </c>
      <c r="S16" s="10" t="s">
        <v>230</v>
      </c>
      <c r="T16" s="12" t="s">
        <v>231</v>
      </c>
      <c r="U16" s="11" t="n">
        <v>46233</v>
      </c>
      <c r="V16" s="11"/>
      <c r="W16" s="10" t="s">
        <v>29</v>
      </c>
      <c r="X16" s="10" t="n">
        <f aca="true">IF(V16&lt;&gt;"",V16-B16,TODAY()-B16)</f>
        <v>3</v>
      </c>
      <c r="Y16" s="10" t="str">
        <f aca="true">IF(W16="Closed","Closed",IF(R16="","N/A",IF(TODAY()&gt;R16,"Overdue",IF(R16-TODAY()&lt;=5,"Due Soon","On Track"))))</f>
        <v>N/A</v>
      </c>
      <c r="Z16" s="11" t="str">
        <f aca="false">IF(P16="","",P16+365)</f>
        <v/>
      </c>
      <c r="AA16" s="10" t="n">
        <v>0</v>
      </c>
      <c r="AB16" s="10"/>
    </row>
  </sheetData>
  <autoFilter ref="A1:AB16"/>
  <dataValidations count="5">
    <dataValidation allowBlank="true" errorStyle="stop" operator="between" showDropDown="false" showErrorMessage="false" showInputMessage="false" sqref="H2:H16" type="list">
      <formula1>'Lookup Lists'!$A$2:$A$6</formula1>
      <formula2>0</formula2>
    </dataValidation>
    <dataValidation allowBlank="true" errorStyle="stop" operator="between" showDropDown="false" showErrorMessage="false" showInputMessage="false" sqref="J2:J16 L2:L16" type="list">
      <formula1>'Lookup Lists'!$B$2:$B$5</formula1>
      <formula2>0</formula2>
    </dataValidation>
    <dataValidation allowBlank="true" errorStyle="stop" operator="between" showDropDown="false" showErrorMessage="false" showInputMessage="false" sqref="O2:O16" type="list">
      <formula1>'Lookup Lists'!$C$2:$C$6</formula1>
      <formula2>0</formula2>
    </dataValidation>
    <dataValidation allowBlank="true" errorStyle="stop" operator="between" showDropDown="false" showErrorMessage="false" showInputMessage="false" sqref="W2:W16" type="list">
      <formula1>'Lookup Lists'!$D$2:$D$8</formula1>
      <formula2>0</formula2>
    </dataValidation>
    <dataValidation allowBlank="true" errorStyle="stop" operator="between" showDropDown="false" showErrorMessage="false" showInputMessage="false" sqref="F2:F16" type="list">
      <formula1>'Lookup Lists'!$E$2:$E$9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6" t="s">
        <v>232</v>
      </c>
    </row>
    <row r="2" customFormat="false" ht="15" hidden="false" customHeight="false" outlineLevel="0" collapsed="false">
      <c r="A2" s="17" t="s">
        <v>233</v>
      </c>
    </row>
    <row r="4" customFormat="false" ht="15" hidden="false" customHeight="false" outlineLevel="0" collapsed="false">
      <c r="A4" s="18" t="s">
        <v>234</v>
      </c>
      <c r="D4" s="18" t="s">
        <v>235</v>
      </c>
    </row>
    <row r="5" customFormat="false" ht="15" hidden="false" customHeight="false" outlineLevel="0" collapsed="false">
      <c r="A5" s="6" t="s">
        <v>29</v>
      </c>
      <c r="B5" s="6" t="n">
        <f aca="false">COUNTIF('Ticket Register'!$W$2:$W$16,A5)</f>
        <v>5</v>
      </c>
      <c r="D5" s="6" t="s">
        <v>27</v>
      </c>
      <c r="E5" s="6" t="n">
        <f aca="false">COUNTIFS('Ticket Register'!$L$2:$L$16,D5,'Ticket Register'!$W$2:$W$16,"&lt;&gt;Closed",'Ticket Register'!$W$2:$W$16,"&lt;&gt;Rejected")</f>
        <v>0</v>
      </c>
    </row>
    <row r="6" customFormat="false" ht="15" hidden="false" customHeight="false" outlineLevel="0" collapsed="false">
      <c r="A6" s="6" t="s">
        <v>28</v>
      </c>
      <c r="B6" s="6" t="n">
        <f aca="false">COUNTIF('Ticket Register'!$W$2:$W$16,A6)</f>
        <v>1</v>
      </c>
      <c r="D6" s="6" t="s">
        <v>33</v>
      </c>
      <c r="E6" s="6" t="n">
        <f aca="false">COUNTIFS('Ticket Register'!$L$2:$L$16,D6,'Ticket Register'!$W$2:$W$16,"&lt;&gt;Closed",'Ticket Register'!$W$2:$W$16,"&lt;&gt;Rejected")</f>
        <v>2</v>
      </c>
    </row>
    <row r="7" customFormat="false" ht="15" hidden="false" customHeight="false" outlineLevel="0" collapsed="false">
      <c r="A7" s="6" t="s">
        <v>40</v>
      </c>
      <c r="B7" s="6" t="n">
        <f aca="false">COUNTIF('Ticket Register'!$W$2:$W$16,A7)</f>
        <v>4</v>
      </c>
      <c r="D7" s="6" t="s">
        <v>38</v>
      </c>
      <c r="E7" s="6" t="n">
        <f aca="false">COUNTIFS('Ticket Register'!$L$2:$L$16,D7,'Ticket Register'!$W$2:$W$16,"&lt;&gt;Closed",'Ticket Register'!$W$2:$W$16,"&lt;&gt;Rejected")</f>
        <v>6</v>
      </c>
    </row>
    <row r="8" customFormat="false" ht="15" hidden="false" customHeight="false" outlineLevel="0" collapsed="false">
      <c r="A8" s="6" t="s">
        <v>46</v>
      </c>
      <c r="B8" s="6" t="n">
        <f aca="false">COUNTIF('Ticket Register'!$W$2:$W$16,A8)</f>
        <v>0</v>
      </c>
      <c r="D8" s="6" t="s">
        <v>44</v>
      </c>
      <c r="E8" s="6" t="n">
        <f aca="false">COUNTIFS('Ticket Register'!$L$2:$L$16,D8,'Ticket Register'!$W$2:$W$16,"&lt;&gt;Closed",'Ticket Register'!$W$2:$W$16,"&lt;&gt;Rejected")</f>
        <v>3</v>
      </c>
    </row>
    <row r="9" customFormat="false" ht="15" hidden="false" customHeight="false" outlineLevel="0" collapsed="false">
      <c r="A9" s="6" t="s">
        <v>51</v>
      </c>
      <c r="B9" s="6" t="n">
        <f aca="false">COUNTIF('Ticket Register'!$W$2:$W$16,A9)</f>
        <v>1</v>
      </c>
    </row>
    <row r="10" customFormat="false" ht="15" hidden="false" customHeight="false" outlineLevel="0" collapsed="false">
      <c r="A10" s="6" t="s">
        <v>48</v>
      </c>
      <c r="B10" s="6" t="n">
        <f aca="false">COUNTIF('Ticket Register'!$W$2:$W$16,A10)</f>
        <v>4</v>
      </c>
    </row>
    <row r="11" customFormat="false" ht="15" hidden="false" customHeight="false" outlineLevel="0" collapsed="false">
      <c r="A11" s="6" t="s">
        <v>45</v>
      </c>
      <c r="B11" s="6" t="n">
        <f aca="false">COUNTIF('Ticket Register'!$W$2:$W$16,A11)</f>
        <v>0</v>
      </c>
    </row>
    <row r="12" customFormat="false" ht="15" hidden="false" customHeight="false" outlineLevel="0" collapsed="false">
      <c r="A12" s="19" t="s">
        <v>236</v>
      </c>
      <c r="B12" s="19" t="n">
        <f aca="false">SUM(B5:B11)</f>
        <v>15</v>
      </c>
    </row>
    <row r="14" customFormat="false" ht="15" hidden="false" customHeight="false" outlineLevel="0" collapsed="false">
      <c r="A14" s="18" t="s">
        <v>237</v>
      </c>
      <c r="D14" s="18" t="s">
        <v>238</v>
      </c>
    </row>
    <row r="15" customFormat="false" ht="15" hidden="false" customHeight="false" outlineLevel="0" collapsed="false">
      <c r="A15" s="6" t="s">
        <v>42</v>
      </c>
      <c r="B15" s="6" t="n">
        <f aca="false">COUNTIFS('Ticket Register'!$Y$2:$Y$16,"Overdue")</f>
        <v>1</v>
      </c>
      <c r="D15" s="6" t="s">
        <v>239</v>
      </c>
      <c r="E15" s="6" t="n">
        <f aca="false">ROUND(AVERAGE('Ticket Register'!$X$2:$X$16),1)</f>
        <v>36.7</v>
      </c>
    </row>
    <row r="16" customFormat="false" ht="15" hidden="false" customHeight="false" outlineLevel="0" collapsed="false">
      <c r="A16" s="6" t="s">
        <v>240</v>
      </c>
      <c r="B16" s="6" t="n">
        <f aca="false">COUNTIFS('Ticket Register'!$Y$2:$Y$16,"Due Soon")</f>
        <v>0</v>
      </c>
      <c r="D16" s="6" t="s">
        <v>241</v>
      </c>
      <c r="E16" s="6" t="n">
        <f aca="false">MAX('Ticket Register'!$X$2:$X$16)</f>
        <v>102</v>
      </c>
    </row>
    <row r="17" customFormat="false" ht="15" hidden="false" customHeight="false" outlineLevel="0" collapsed="false">
      <c r="A17" s="6" t="s">
        <v>31</v>
      </c>
      <c r="B17" s="6" t="n">
        <f aca="false">COUNTIFS('Ticket Register'!$Y$2:$Y$16,"On Track")</f>
        <v>6</v>
      </c>
      <c r="D17" s="6" t="s">
        <v>242</v>
      </c>
      <c r="E17" s="6" t="n">
        <f aca="false">SUM('Ticket Register'!$AA$2:$AA$16)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2026-07-06T01:25:06Z</dcterms:created>
  <dc:creator>openpyxl</dc:creator>
  <dc:description/>
  <dc:language>en-US</dc:language>
  <cp:lastModifiedBy/>
  <dcterms:modified xsi:type="dcterms:W3CDTF">2026-07-06T01:25:12Z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